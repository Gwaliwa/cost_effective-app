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s" sheetId="1" r:id="rId1"/>
    <sheet name="Assumptions_Notes" sheetId="2" r:id="rId2"/>
  </sheets>
  <calcPr calcId="124519" fullCalcOnLoad="1"/>
</workbook>
</file>

<file path=xl/sharedStrings.xml><?xml version="1.0" encoding="utf-8"?>
<sst xmlns="http://schemas.openxmlformats.org/spreadsheetml/2006/main" count="53" uniqueCount="52">
  <si>
    <t>Intervention_Name</t>
  </si>
  <si>
    <t>Context/Country</t>
  </si>
  <si>
    <t>CEA_Type</t>
  </si>
  <si>
    <t>Total_Cost_USD_per_year</t>
  </si>
  <si>
    <t>Number_of_children</t>
  </si>
  <si>
    <t>Impact_per_child_SD</t>
  </si>
  <si>
    <t>Threshold_SD_per_100USD_(optional)</t>
  </si>
  <si>
    <t>Notes</t>
  </si>
  <si>
    <t>ATI-ASR (Prospective, based on India estimate)</t>
  </si>
  <si>
    <t>ATI-ASR (Prospective, based on Kenya estimate)</t>
  </si>
  <si>
    <t>ATI-ASR (Retrospective, actual pilot)</t>
  </si>
  <si>
    <t>West Ghana (using India RCT impact)</t>
  </si>
  <si>
    <t>West Ghana (using Kenya RCT impact)</t>
  </si>
  <si>
    <t>West Ghana</t>
  </si>
  <si>
    <t>Prospective_Pilot</t>
  </si>
  <si>
    <t>Retrospective_Pilot</t>
  </si>
  <si>
    <t>Uses impact from remedial tutoring by volunteers in India; budgeted ATI-ASR cost.</t>
  </si>
  <si>
    <t>Uses impact from tracking by ability in Kenya; budgeted ATI-ASR cost.</t>
  </si>
  <si>
    <t>Uses actual pilot cost and impact (0.190 SD) from evaluation.</t>
  </si>
  <si>
    <t>Cost_per_child_USD</t>
  </si>
  <si>
    <t>CE_SD_per_100USD</t>
  </si>
  <si>
    <t>Cost_per_1SD_USD</t>
  </si>
  <si>
    <t>This sheet lists key assumptions and notes for interpreting the cost-effectiveness results.</t>
  </si>
  <si>
    <t>1. Perspective:</t>
  </si>
  <si>
    <t xml:space="preserve">   - By default, the template is closer to a 'program/implementer' perspective (direct financial costs).</t>
  </si>
  <si>
    <t xml:space="preserve">   - To move toward a 'societal' perspective, include opportunity costs (participant time, volunteer labor, etc.).</t>
  </si>
  <si>
    <t>2. Inflation and Year of Costs:</t>
  </si>
  <si>
    <t xml:space="preserve">   - All costs should be converted into a common price year using a price index (e.g., CPI).</t>
  </si>
  <si>
    <t xml:space="preserve">   - Document the price year in the Results sheet and in your narrative.</t>
  </si>
  <si>
    <t>3. Currency and PPP:</t>
  </si>
  <si>
    <t xml:space="preserve">   - If comparing programs across countries, consider converting local currency costs into a common unit (e.g., USD PPP).</t>
  </si>
  <si>
    <t xml:space="preserve">   - Simple exchange rates may misrepresent relative cost levels.</t>
  </si>
  <si>
    <t>4. Outcome Metric:</t>
  </si>
  <si>
    <t xml:space="preserve">   - For education, impact is often measured in standard deviations (SD) of test scores.</t>
  </si>
  <si>
    <t xml:space="preserve">   - For health, impacts may be DALYs averted, cases prevented, etc.</t>
  </si>
  <si>
    <t xml:space="preserve">   - The template is generic: you can rename 'Impact_per_child_SD' to your outcome unit if needed.</t>
  </si>
  <si>
    <t>5. Thresholds:</t>
  </si>
  <si>
    <t xml:space="preserve">   - A threshold (e.g., minimum SD per $100, or maximum $ per SD) is a policy choice, not a law of nature.</t>
  </si>
  <si>
    <t xml:space="preserve">   - Use it to check if an intervention is 'good enough' for your context.</t>
  </si>
  <si>
    <t>6. Uncertainty:</t>
  </si>
  <si>
    <t xml:space="preserve">   - Prospective CEA (before a pilot) relies on assumed costs and impacts from other contexts.</t>
  </si>
  <si>
    <t xml:space="preserve">   - Retrospective CEA (after a pilot) uses observed cost and impact, but still may not generalize to scale or new settings.</t>
  </si>
  <si>
    <t xml:space="preserve">   - Prospective CEA for scale-up should adjust costs and impacts for realistic large-scale implementation.</t>
  </si>
  <si>
    <t>7. Spillovers and General Equilibrium:</t>
  </si>
  <si>
    <t xml:space="preserve">   - If there are meaningful spillovers (e.g., untreated children benefit from deworming), include them in the total impact.</t>
  </si>
  <si>
    <t xml:space="preserve">   - Large-scale programs can change prices or behavior (general equilibrium effects) that are not captured in small pilot CEAs.</t>
  </si>
  <si>
    <t>8. Sensitivity Analysis:</t>
  </si>
  <si>
    <t xml:space="preserve">   - Use low/central/high scenarios for cost and impact to see how robust your cost-effectiveness is.</t>
  </si>
  <si>
    <t xml:space="preserve">   - For example, vary cost per child ±20% and impact ±25%.</t>
  </si>
  <si>
    <t>9. Interpretation Language:</t>
  </si>
  <si>
    <t xml:space="preserve">   - Do: 'If our assumptions hold, the program is estimated to cost around $X per SD gained.'</t>
  </si>
  <si>
    <t xml:space="preserve">   - Do NOT: 'The program will cost exactly $X per SD gained everywhere.'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</si>
</sst>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19</v>
      </c>
      <c r="J1" t="s">
        <v>20</v>
      </c>
      <c r="K1" t="s">
        <v>21</v>
      </c>
    </row>
    <row r="2" spans="1:11">
      <c r="A2" t="s">
        <v>8</v>
      </c>
      <c r="B2" t="s">
        <v>11</v>
      </c>
      <c r="C2" t="s">
        <v>14</v>
      </c>
      <c r="D2">
        <v>74800</v>
      </c>
      <c r="E2">
        <v>12000</v>
      </c>
      <c r="F2">
        <v>0.28</v>
      </c>
      <c r="G2">
        <v>1.4</v>
      </c>
      <c r="H2" t="s">
        <v>16</v>
      </c>
      <c r="I2">
        <f>D2/E2</f>
        <v>0</v>
      </c>
      <c r="J2">
        <f>(F2*100)/I2</f>
        <v>0</v>
      </c>
      <c r="K2">
        <f>I2/F2</f>
        <v>0</v>
      </c>
    </row>
    <row r="3" spans="1:11">
      <c r="A3" t="s">
        <v>9</v>
      </c>
      <c r="B3" t="s">
        <v>12</v>
      </c>
      <c r="C3" t="s">
        <v>14</v>
      </c>
      <c r="D3">
        <v>74800</v>
      </c>
      <c r="E3">
        <v>12000</v>
      </c>
      <c r="F3">
        <v>0.18</v>
      </c>
      <c r="G3">
        <v>1.4</v>
      </c>
      <c r="H3" t="s">
        <v>17</v>
      </c>
      <c r="I3">
        <f>D3/E3</f>
        <v>0</v>
      </c>
      <c r="J3">
        <f>(F3*100)/I3</f>
        <v>0</v>
      </c>
      <c r="K3">
        <f>I3/F3</f>
        <v>0</v>
      </c>
    </row>
    <row r="4" spans="1:11">
      <c r="A4" t="s">
        <v>10</v>
      </c>
      <c r="B4" t="s">
        <v>13</v>
      </c>
      <c r="C4" t="s">
        <v>15</v>
      </c>
      <c r="D4">
        <v>139482.13</v>
      </c>
      <c r="E4">
        <v>12000</v>
      </c>
      <c r="F4">
        <v>0.19</v>
      </c>
      <c r="G4">
        <v>1.4</v>
      </c>
      <c r="H4" t="s">
        <v>18</v>
      </c>
      <c r="I4">
        <f>D4/E4</f>
        <v>0</v>
      </c>
      <c r="J4">
        <f>(F4*100)/I4</f>
        <v>0</v>
      </c>
      <c r="K4">
        <f>I4/F4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sheetData>
    <row r="1" spans="1:1">
      <c r="A1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4" spans="1:1">
      <c r="A24" t="s">
        <v>39</v>
      </c>
    </row>
    <row r="25" spans="1:1">
      <c r="A25" t="s">
        <v>40</v>
      </c>
    </row>
    <row r="26" spans="1:1">
      <c r="A26" t="s">
        <v>41</v>
      </c>
    </row>
    <row r="27" spans="1:1">
      <c r="A27" t="s">
        <v>42</v>
      </c>
    </row>
    <row r="29" spans="1:1">
      <c r="A29" t="s">
        <v>43</v>
      </c>
    </row>
    <row r="30" spans="1:1">
      <c r="A30" t="s">
        <v>44</v>
      </c>
    </row>
    <row r="31" spans="1:1">
      <c r="A31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Interventions</vt:lpstr>
      <vt:lpstr>Assumptions_Notes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2025-11-18T13:19:41Z</dcterms:created>
  <dcterms:modified xsi:type="dcterms:W3CDTF">2025-11-18T13:19:41Z</dcterms:modified>
</cp:coreProperties>
</file>